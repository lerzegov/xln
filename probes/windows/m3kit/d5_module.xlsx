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548A687C-BD0D-074B-A060-899FC4FBD67B}" xr6:coauthVersionLast="47" xr6:coauthVersionMax="47" xr10:uidLastSave="{00000000-0000-0000-0000-000000000000}"/>
  <bookViews>
    <workbookView xWindow="940" yWindow="760" windowWidth="28040" windowHeight="17180" activeTab="1" xr2:uid="{43529858-E28E-EC49-9516-1F052637B81D}"/>
  </bookViews>
  <sheets>
    <sheet name="S1" sheetId="1" r:id="rId1"/>
    <sheet name="S2" sheetId="2" r:id="rId2"/>
  </sheets>
  <definedNames>
    <definedName name="Fn">_xlfn.LAMBDA(_xlpm.x, _xlpm.x*Rate)</definedName>
    <definedName name="FN.AddRate" comment="Adds the workbook's Rate. [xln FN 1.2 #744f8e]">_xlfn.LAMBDA(_xlpm.x,
  _xlpm.x + Rate)</definedName>
    <definedName name="FN.Double" comment="Doubles a number.&#10;Second line: checked on Windows (D5, D6). [xln FN 1.2 #96585d]">_xlfn.LAMBDA(_xlpm.x, _xlpm.x * 2)</definedName>
    <definedName name="Loc" localSheetId="1">7</definedName>
    <definedName name="Loc">3</definedName>
    <definedName name="Rate">0.1</definedName>
    <definedName name="Rate2">Rate*2</definedName>
    <definedName name="RateX">0.5</definedName>
    <definedName name="Spl">_xlfn.ANCHORARRAY('S1'!$E$1)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A3" i="2"/>
  <c r="A4" i="2"/>
  <c r="A5" i="2"/>
  <c r="A2" i="2"/>
  <c r="A1" i="2"/>
  <c r="C10" i="1" a="1"/>
  <c r="C9" i="1"/>
  <c r="C8" i="1"/>
  <c r="C7" i="1" a="1"/>
  <c r="C6" i="1"/>
  <c r="E1" i="1" a="1"/>
  <c r="C5" i="1"/>
  <c r="C4" i="1" a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Relationship Id="rId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baseColWidth="10" defaultRowHeight="16" x14ac:dyDescent="0.2"/>
  <sheetData>
    <row r="1" spans="1:5" x14ac:dyDescent="0.2">
      <c r="A1">
        <f>Rate*2</f>
        <v>0.2</v>
      </c>
      <c r="C1">
        <f>RateX+Rate</f>
        <v>0.6</v>
      </c>
      <c r="E1" cm="1">
        <f t="array" ref="E1:E3">_xlfn.SEQUENCE(3)*Rate</f>
        <v>0.1</v>
      </c>
    </row>
    <row r="2" spans="1:5" x14ac:dyDescent="0.2">
      <c r="A2">
        <v>1</v>
      </c>
      <c r="B2">
        <f t="shared" ref="B2:B11" si="0">A2*Rate</f>
        <v>0.1</v>
      </c>
      <c r="C2" t="str">
        <f>"Rate is "&amp;Rate</f>
        <v>Rate is 0.1</v>
      </c>
      <c r="E2">
        <v>0.2</v>
      </c>
    </row>
    <row r="3" spans="1:5" x14ac:dyDescent="0.2">
      <c r="A3">
        <v>2</v>
      </c>
      <c r="B3">
        <f t="shared" si="0"/>
        <v>0.2</v>
      </c>
      <c r="C3">
        <f>_xlfn.LET(_xlpm.Rate, 5, _xlpm.Rate*2)</f>
        <v>10</v>
      </c>
      <c r="E3">
        <v>0.30000000000000004</v>
      </c>
    </row>
    <row r="4" spans="1:5" x14ac:dyDescent="0.2">
      <c r="A4">
        <v>3</v>
      </c>
      <c r="B4">
        <f t="shared" si="0"/>
        <v>0.30000000000000004</v>
      </c>
      <c r="C4" cm="1">
        <f t="array" ref="C4">Fn(10)</f>
        <v>1</v>
      </c>
    </row>
    <row r="5" spans="1:5" x14ac:dyDescent="0.2">
      <c r="A5">
        <v>4</v>
      </c>
      <c r="B5">
        <f t="shared" si="0"/>
        <v>0.4</v>
      </c>
      <c r="C5">
        <f>'S2'!Loc+Loc</f>
        <v>10</v>
      </c>
    </row>
    <row r="6" spans="1:5" x14ac:dyDescent="0.2">
      <c r="A6">
        <v>5</v>
      </c>
      <c r="B6">
        <f t="shared" si="0"/>
        <v>0.5</v>
      </c>
      <c r="C6">
        <f>SUM(Spl)</f>
        <v>0.60000000000000009</v>
      </c>
    </row>
    <row r="7" spans="1:5" x14ac:dyDescent="0.2">
      <c r="A7">
        <v>6</v>
      </c>
      <c r="B7">
        <f t="shared" si="0"/>
        <v>0.60000000000000009</v>
      </c>
      <c r="C7" t="e" cm="1">
        <f t="array" aca="1" ref="C7" ca="1">INDIRECT("Rate")</f>
        <v>#REF!</v>
      </c>
    </row>
    <row r="8" spans="1:5" x14ac:dyDescent="0.2">
      <c r="A8">
        <v>7</v>
      </c>
      <c r="B8">
        <f t="shared" si="0"/>
        <v>0.70000000000000007</v>
      </c>
      <c r="C8">
        <f>Rate*3</f>
        <v>0.30000000000000004</v>
      </c>
    </row>
    <row r="9" spans="1:5" x14ac:dyDescent="0.2">
      <c r="A9">
        <v>8</v>
      </c>
      <c r="B9">
        <f t="shared" si="0"/>
        <v>0.8</v>
      </c>
      <c r="C9">
        <f>ROWS(_xlfn.ANCHORARRAY(E1))*Rate</f>
        <v>0.30000000000000004</v>
      </c>
    </row>
    <row r="10" spans="1:5" x14ac:dyDescent="0.2">
      <c r="A10">
        <v>9</v>
      </c>
      <c r="B10">
        <f t="shared" si="0"/>
        <v>0.9</v>
      </c>
      <c r="C10" cm="1">
        <f t="array" ref="C10">Rate2+Fn(1)</f>
        <v>0.30000000000000004</v>
      </c>
    </row>
    <row r="11" spans="1:5" x14ac:dyDescent="0.2">
      <c r="A11">
        <v>10</v>
      </c>
      <c r="B11">
        <f t="shared" si="0"/>
        <v>1</v>
      </c>
    </row>
  </sheetData>
  <conditionalFormatting sqref="A2:A11">
    <cfRule type="expression" priority="1">
      <formula>A2&gt;Rate*50</formula>
    </cfRule>
  </conditionalFormatting>
  <dataValidations count="1">
    <dataValidation type="decimal" operator="lessThan" allowBlank="1" showErrorMessage="1" sqref="G1">
      <formula1>Rate+Loc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baseColWidth="10" defaultRowHeight="16" x14ac:dyDescent="0.2"/>
  <sheetData>
    <row r="1" spans="1:2" x14ac:dyDescent="0.2">
      <c r="A1">
        <f>Loc</f>
        <v>7</v>
      </c>
      <c r="B1">
        <f>'S1'!A1+'S2'!Loc</f>
        <v>7.2</v>
      </c>
    </row>
    <row r="2" spans="1:2" x14ac:dyDescent="0.2">
      <c r="A2">
        <f>Rate+Loc</f>
        <v>7.1</v>
      </c>
    </row>
    <row r="3" spans="1:2" x14ac:dyDescent="0.2">
      <c r="A3">
        <f t="shared" ref="A3:A5" si="0">Loc*ROW()</f>
        <v>21</v>
      </c>
    </row>
    <row r="4" spans="1:2" x14ac:dyDescent="0.2">
      <c r="A4">
        <f t="shared" si="0"/>
        <v>28</v>
      </c>
    </row>
    <row r="5" spans="1:2" x14ac:dyDescent="0.2">
      <c r="A5">
        <f t="shared" si="0"/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 xmlns="urn:xln:embedded-source:1" format="xln.embed/1">
  <file path="names/FN.xln" sha256="17ccd50720d0c27fb352d40c7a18d76f961859bb5591cb5900500df6e66a0b5f" eol="lf">// module: FN, written for the M3 Windows check
// @version 1.2
/**
 * Doubles a number.
 * Second line: checked on Windows (D5, D6).
 */
FN.Double = LAMBDA(x, x * 2);
/** Adds the workbook's Rate. */
FN.AddRate = LAMBDA(x,
  x + Rate);
</file>
  <file path="names/_unmanaged.xln" sha256="6437ad0c15f8ab4d02f9b9ea44fc073ea0e2ca45774739c1e7af9d872e9377e5" eol="lf">// Workbook-scoped names that no module owns, pulled by xln from d5_module.xlsx.
// A name with a module prefix (ANA.GROW) is pulled into its module's file instead.
Fn = LAMBDA(x, x*Rate);
Loc = 3;
Rate = 0.1;
Rate2 = Rate*2;
RateX = 0.5;
</file>
  <file path="names/sheets/S1.xln" sha256="c61cee26da782e3f3e42233844369431b87f580448b60ee6642c7fa1b7bacdf2" eol="lf">// Sheet S1, pulled by xln from d5_module.xlsx: its formula cells in sheet order, then
// the names local to it that no module owns. Every name here is local to S1 unless
// the line above it says @workbook. A cell's address (@C6) is set in Excel and read-only;
// edit the formula after '='. `Name @C6 = ;` is a slot: a name on an empty cell.
// `Name @C6#` names the cell's spill, `Name @C6` the cell alone: add or remove the `#`.
@A1 = Rate*2;
@C1 = RateX+Rate;
@workbook
Spl @E1# = SEQUENCE(3)*Rate;
@B2:B11 = A2*Rate;
@C2 = "Rate is "&amp;Rate;
@C3 = LET(Rate, 5, Rate*2);
@C4 = Fn(10);
@C5 = 'S2'!Loc+Loc;
@C6 = SUM(Spl);
@C7 = INDIRECT("Rate");
@C8 = Rate*3;
@C9 = ROWS(E1#)*Rate;
@C10 = Rate2+Fn(1);
</file>
  <file path="names/sheets/S2.xln" sha256="9146b1bc6fbb3b6569ff49610ca72bb2f423d1ee98f2373835f3c66a6fbbcb4b" eol="lf">// Sheet S2, pulled by xln from d5_module.xlsx: its formula cells in sheet order, then
// the names local to it that no module owns. Every name here is local to S2 unless
// the line above it says @workbook. A cell's address (@C6) is set in Excel and read-only;
// edit the formula after '='. `Name @C6 = ;` is a slot: a name on an empty cell.
// `Name @C6#` names the cell's spill, `Name @C6` the cell alone: add or remove the `#`.
@A1 = Loc;
@B1 = 'S1'!A1+'S2'!Loc;
@A2 = Rate+Loc;
@A3:A5 = Loc*ROW();
// Other names local to S2.
Loc = 7;
</file>
  <file path="xln.config.json" sha256="ced3d5a17c3c0cd8daa063ec455b4946de9a7ead0a128cb01d5f4c25ac069446" eol="lf">{
  "audit": {
    "harness": [],
    "rules": {},
    "constants": {
      "allow": []
    }
  }
}
</file>
  <file path="xln.lock.json" sha256="c52114524fc71da829882a6e18ee34c75d5cddac55a60eb00354b9b1075ddc97" eol="lf">{
  "format": "xln.lock/4",
  "workbook": "d5_module.xlsx",
  "names": {
    "Fn": { "definition": "h:7a606da7ae06ceb5", "comment": null, "hidden": false },
    "FN.AddRate": { "definition": "h:7544e9921a0d9d1d", "comment": "h:c983d7349b1c4c3c", "hidden": false },
    "FN.Double": { "definition": "h:314642935a686a56", "comment": "h:f7fe49697ebd84ea", "hidden": false },
    "Loc": { "definition": "h:6845427f830f56d3", "comment": null, "hidden": false },
    "Rate": { "definition": "h:e11e195b21cd2df9", "comment": null, "hidden": false },
    "Rate2": { "definition": "h:d74f26d1c01229f2", "comment": null, "hidden": false },
    "RateX": { "definition": "h:e6595a61a999ec7b", "comment": null, "hidden": false },
    "Spl": { "definition": "h:65172e8f4475b332", "comment": null, "hidden": false },
    "S2!Loc": { "definition": "h:efbc62f7e41240e8", "comment": null, "hidden": false }
  },
  "cells": {
    "S1!A1": { "sheet": "S1", "range": "A1", "formula": "h:d74f26d1c01229f2" },
    "S1!C1": { "sheet": "S1", "range": "C1", "formula": "h:39f3ed82842dcd50" },
    "Spl": { "sheet": "S1", "range": "E1", "name": "Spl", "formula": "h:d1f92a2d94325030" },
    "S1!B2:B11": { "sheet": "S1", "range": "B2:B11", "formula": "h:7559ba3de7a4acd3" },
    "S1!C2": { "sheet": "S1", "range": "C2", "formula": "h:7ccb49af65683199" },
    "S1!C3": { "sheet": "S1", "range": "C3", "formula": "h:cd26583b7d4a2300" },
    "S1!C4": { "sheet": "S1", "range": "C4", "formula": "h:f020fbb99cb73100" },
    "S1!C5": { "sheet": "S1", "range": "C5", "formula": "h:70bef26cb6d535c7" },
    "S1!C6": { "sheet": "S1", "range": "C6", "formula": "h:1a0729e8900137bb" },
    "S1!C7": { "sheet": "S1", "range": "C7", "formula": "h:595c65193f2605c3" },
    "S1!C8": { "sheet": "S1", "range": "C8", "formula": "h:01e4ff9fe6d6d39b" },
    "S1!C9": { "sheet": "S1", "range": "C9", "formula": "h:170b553205f2ddaf" },
    "S1!C10": { "sheet": "S1", "range": "C10", "formula": "h:90d14ae913c8bb88" },
    "S2!A1": { "sheet": "S2", "range": "A1", "formula": "h:28692931b7896470" },
    "S2!B1": { "sheet": "S2", "range": "B1", "formula": "h:df3b741c5c337f20" },
    "S2!A2": { "sheet": "S2", "range": "A2", "formula": "h:88e807388464e915" },
    "S2!A3:A5": { "sheet": "S2", "range": "A3:A5", "formula": "h:202f82ac81023270" }
  }
}
</file>
</project>
</file>

<file path=customXml/itemProps1.xml><?xml version="1.0" encoding="utf-8"?>
<ds:datastoreItem xmlns:ds="http://schemas.openxmlformats.org/officeDocument/2006/customXml" ds:itemID="{6B1D2E7A-4C3F-4E8B-9A15-7F0C3D2B5E91}">
  <ds:schemaRefs>
    <ds:schemaRef ds:uri="urn:xln:embedded-source: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2026-10-04T16:23:11Z</dcterms:modified>
</cp:coreProperties>
</file>