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uca/Library/Group Containers/UBF8T346G9.Office/xln-m3kit/"/>
    </mc:Choice>
  </mc:AlternateContent>
  <xr:revisionPtr revIDLastSave="0" documentId="8_{999EEE71-2BB5-AD47-8D63-149D4FDB7598}" xr6:coauthVersionLast="47" xr6:coauthVersionMax="47" xr10:uidLastSave="{00000000-0000-0000-0000-000000000000}"/>
  <bookViews>
    <workbookView xWindow="940" yWindow="760" windowWidth="28040" windowHeight="17180" activeTab="3" xr2:uid="{92F9BEC3-2F6D-2645-A704-F39E5569AB8E}"/>
  </bookViews>
  <sheets>
    <sheet name="N" sheetId="1" r:id="rId1"/>
    <sheet name="D" sheetId="2" r:id="rId2"/>
    <sheet name="Slot" sheetId="3" r:id="rId3"/>
    <sheet name="Sh" sheetId="4" r:id="rId4"/>
  </sheets>
  <definedNames>
    <definedName name="Costs">Slot!$B$2</definedName>
    <definedName name="Far">Slot!$B$9</definedName>
    <definedName name="Revenue">Slot!$B$1</definedName>
    <definedName name="Spill">_xlfn.ANCHORARRAY(D!$C$6)</definedName>
    <definedName name="Spill2">_xlfn.ANCHORARRAY(D!$F$6)</definedName>
    <definedName name="Tax">Slot!$B$6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6" i="3" l="1" a="1"/>
  <c r="P6" i="2" a="1"/>
  <c r="N6" i="2" a="1"/>
  <c r="L6" i="2" a="1"/>
  <c r="E7" i="2" s="1"/>
  <c r="J6" i="2" a="1"/>
  <c r="H6" i="2" a="1"/>
  <c r="F6" i="2" a="1"/>
  <c r="C6" i="2" a="1"/>
  <c r="E5" i="2"/>
  <c r="E4" i="2"/>
  <c r="E3" i="2"/>
  <c r="E2" i="2"/>
  <c r="E1" i="2"/>
  <c r="B7" i="1"/>
  <c r="B6" i="1"/>
  <c r="B5" i="1"/>
  <c r="C4" i="1" a="1"/>
  <c r="B4" i="1"/>
  <c r="B3" i="1"/>
  <c r="C2" i="1" a="1"/>
  <c r="B2" i="1"/>
  <c r="C1" i="1" a="1"/>
  <c r="B1" i="1"/>
  <c r="E5" i="4"/>
  <c r="D5" i="4"/>
  <c r="C5" i="4"/>
  <c r="B5" i="4"/>
  <c r="E4" i="4"/>
  <c r="D4" i="4"/>
  <c r="C4" i="4"/>
  <c r="B4" i="4"/>
  <c r="E3" i="4"/>
  <c r="D3" i="4"/>
  <c r="C3" i="4" a="1"/>
  <c r="B3" i="4"/>
  <c r="E2" i="4"/>
  <c r="D2" i="4"/>
  <c r="C2" i="4"/>
  <c r="B2" i="4"/>
  <c r="E1" i="4"/>
  <c r="D1" i="4" a="1"/>
  <c r="C1" i="4"/>
  <c r="B1" i="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<sst xmlns="http://schemas.openxmlformats.org/spreadsheetml/2006/main" count="3" uniqueCount="3">
  <si>
    <t>Revenue</t>
  </si>
  <si>
    <t>Costs</t>
  </si>
  <si>
    <t>Tax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</si>
</sst>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9EEB67-23A2-4B4C-BF8D-BB01E7DD1D89}">
  <dimension ref="A1:D7"/>
  <sheetViews>
    <sheetView workbookViewId="0"/>
  </sheetViews>
  <sheetFormatPr baseColWidth="10" defaultRowHeight="16" x14ac:dyDescent="0.2"/>
  <sheetData>
    <row r="1" spans="1:4" x14ac:dyDescent="0.2">
      <c r="A1">
        <v>1</v>
      </c>
      <c r="B1">
        <f>SUM(A1:A3)</f>
        <v>6</v>
      </c>
      <c r="C1" cm="1">
        <f t="array" ref="C1">SUM(A1:A3)*2</f>
        <v>12</v>
      </c>
    </row>
    <row r="2" spans="1:4" x14ac:dyDescent="0.2">
      <c r="A2">
        <v>2</v>
      </c>
      <c r="B2">
        <f>A1*10</f>
        <v>10</v>
      </c>
      <c r="C2" t="str" cm="1">
        <f t="array" ref="C2">"hi "&amp;A1</f>
        <v>hi 1</v>
      </c>
    </row>
    <row r="3" spans="1:4" x14ac:dyDescent="0.2">
      <c r="A3">
        <v>3</v>
      </c>
      <c r="B3">
        <f>A3</f>
        <v>3</v>
      </c>
      <c r="C3">
        <v>7</v>
      </c>
    </row>
    <row r="4" spans="1:4" x14ac:dyDescent="0.2">
      <c r="B4">
        <f>A1</f>
        <v>1</v>
      </c>
      <c r="C4" cm="1">
        <f t="array" ref="C4:D5">_xlfn.SEQUENCE(2,2)</f>
        <v>1</v>
      </c>
      <c r="D4">
        <v>2</v>
      </c>
    </row>
    <row r="5" spans="1:4" x14ac:dyDescent="0.2">
      <c r="B5">
        <f>A1</f>
        <v>1</v>
      </c>
      <c r="C5">
        <v>3</v>
      </c>
      <c r="D5">
        <v>4</v>
      </c>
    </row>
    <row r="6" spans="1:4" x14ac:dyDescent="0.2">
      <c r="B6">
        <f>A2</f>
        <v>2</v>
      </c>
    </row>
    <row r="7" spans="1:4" x14ac:dyDescent="0.2">
      <c r="B7">
        <f>A2</f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BE5113-425E-FB42-886D-EFDBA91507BA}">
  <dimension ref="C1:P9"/>
  <sheetViews>
    <sheetView workbookViewId="0"/>
  </sheetViews>
  <sheetFormatPr baseColWidth="10" defaultRowHeight="16" x14ac:dyDescent="0.2"/>
  <sheetData>
    <row r="1" spans="3:16" x14ac:dyDescent="0.2">
      <c r="E1">
        <f>SUM(Spill)</f>
        <v>6</v>
      </c>
    </row>
    <row r="2" spans="3:16" x14ac:dyDescent="0.2">
      <c r="E2">
        <f>SUM(Spill2)</f>
        <v>10</v>
      </c>
    </row>
    <row r="3" spans="3:16" x14ac:dyDescent="0.2">
      <c r="E3">
        <f>ROWS(_xlfn.ANCHORARRAY(F6))</f>
        <v>4</v>
      </c>
    </row>
    <row r="4" spans="3:16" x14ac:dyDescent="0.2">
      <c r="E4">
        <f>ROWS(_xlfn.ANCHORARRAY(C6))</f>
        <v>3</v>
      </c>
    </row>
    <row r="5" spans="3:16" x14ac:dyDescent="0.2">
      <c r="E5">
        <f>SUM(_xlfn.ANCHORARRAY(H6))</f>
        <v>42</v>
      </c>
    </row>
    <row r="6" spans="3:16" x14ac:dyDescent="0.2">
      <c r="C6" cm="1">
        <f t="array" ref="C6:C8">_xlfn.SEQUENCE(3)</f>
        <v>1</v>
      </c>
      <c r="F6" cm="1">
        <f t="array" ref="F6:F9">_xlfn.SEQUENCE(4)</f>
        <v>1</v>
      </c>
      <c r="H6" cm="1">
        <f t="array" ref="H6">42</f>
        <v>42</v>
      </c>
      <c r="J6" cm="1">
        <f t="array" ref="J6:J9">_xlfn.SEQUENCE(4)</f>
        <v>1</v>
      </c>
      <c r="L6" cm="1">
        <f t="array" ref="L6:L9">_xlfn.SEQUENCE(4)</f>
        <v>1</v>
      </c>
      <c r="N6" cm="1">
        <f t="array" ref="N6:N8">_xlfn.SEQUENCE(3)</f>
        <v>1</v>
      </c>
      <c r="P6" cm="1">
        <f t="array" ref="P6:P8">_xlfn.SEQUENCE(3)</f>
        <v>1</v>
      </c>
    </row>
    <row r="7" spans="3:16" x14ac:dyDescent="0.2">
      <c r="C7">
        <v>2</v>
      </c>
      <c r="E7">
        <f>SUM(_xlfn.ANCHORARRAY(L6))</f>
        <v>10</v>
      </c>
      <c r="F7">
        <v>2</v>
      </c>
      <c r="J7">
        <v>2</v>
      </c>
      <c r="L7">
        <v>2</v>
      </c>
      <c r="N7">
        <v>2</v>
      </c>
      <c r="P7">
        <v>2</v>
      </c>
    </row>
    <row r="8" spans="3:16" x14ac:dyDescent="0.2">
      <c r="C8">
        <v>3</v>
      </c>
      <c r="F8">
        <v>3</v>
      </c>
      <c r="J8">
        <v>3</v>
      </c>
      <c r="L8">
        <v>3</v>
      </c>
      <c r="N8">
        <v>3</v>
      </c>
      <c r="P8">
        <v>3</v>
      </c>
    </row>
    <row r="9" spans="3:16" x14ac:dyDescent="0.2">
      <c r="F9">
        <v>4</v>
      </c>
      <c r="J9">
        <v>4</v>
      </c>
      <c r="L9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399A17-CA92-9F49-A9BF-7A57361A6D3E}">
  <dimension ref="A1:B6"/>
  <sheetViews>
    <sheetView workbookViewId="0"/>
  </sheetViews>
  <sheetFormatPr baseColWidth="10" defaultRowHeight="16" x14ac:dyDescent="0.2"/>
  <sheetData>
    <row r="1" spans="1:2" x14ac:dyDescent="0.2">
      <c r="A1" t="s">
        <v>0</v>
      </c>
    </row>
    <row r="2" spans="1:2" x14ac:dyDescent="0.2">
      <c r="A2" t="s">
        <v>1</v>
      </c>
    </row>
    <row r="6" spans="1:2" x14ac:dyDescent="0.2">
      <c r="A6" t="s">
        <v>2</v>
      </c>
      <c r="B6" cm="1">
        <f t="array" ref="B6">7</f>
        <v>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C2B602-8E98-FE49-93B5-7723D2E402E3}">
  <dimension ref="A1:E5"/>
  <sheetViews>
    <sheetView tabSelected="1" workbookViewId="0"/>
  </sheetViews>
  <sheetFormatPr baseColWidth="10" defaultRowHeight="16" x14ac:dyDescent="0.2"/>
  <sheetData>
    <row r="1" spans="1:5" x14ac:dyDescent="0.2">
      <c r="A1">
        <v>1</v>
      </c>
      <c r="B1">
        <f t="shared" ref="B1:B5" si="0">A1*2</f>
        <v>2</v>
      </c>
      <c r="C1">
        <f t="shared" ref="C1:C5" si="1">A1+1</f>
        <v>2</v>
      </c>
      <c r="D1" cm="1">
        <f t="array" ref="D1">A1*30</f>
        <v>30</v>
      </c>
      <c r="E1">
        <f t="shared" ref="E1:E5" si="2">A1*4</f>
        <v>4</v>
      </c>
    </row>
    <row r="2" spans="1:5" x14ac:dyDescent="0.2">
      <c r="A2">
        <v>2</v>
      </c>
      <c r="B2">
        <f t="shared" si="0"/>
        <v>4</v>
      </c>
      <c r="C2">
        <f t="shared" si="1"/>
        <v>3</v>
      </c>
      <c r="D2">
        <f>A2*3</f>
        <v>6</v>
      </c>
      <c r="E2">
        <f t="shared" si="2"/>
        <v>8</v>
      </c>
    </row>
    <row r="3" spans="1:5" x14ac:dyDescent="0.2">
      <c r="A3">
        <v>3</v>
      </c>
      <c r="B3">
        <f t="shared" si="0"/>
        <v>6</v>
      </c>
      <c r="C3" cm="1">
        <f t="array" ref="C3">A3*100</f>
        <v>300</v>
      </c>
      <c r="D3">
        <f>A3*3</f>
        <v>9</v>
      </c>
      <c r="E3">
        <f t="shared" si="2"/>
        <v>12</v>
      </c>
    </row>
    <row r="4" spans="1:5" x14ac:dyDescent="0.2">
      <c r="A4">
        <v>4</v>
      </c>
      <c r="B4">
        <f t="shared" si="0"/>
        <v>8</v>
      </c>
      <c r="C4">
        <f t="shared" si="1"/>
        <v>5</v>
      </c>
      <c r="D4">
        <f>A4*3</f>
        <v>12</v>
      </c>
      <c r="E4">
        <f t="shared" si="2"/>
        <v>16</v>
      </c>
    </row>
    <row r="5" spans="1:5" x14ac:dyDescent="0.2">
      <c r="A5">
        <v>5</v>
      </c>
      <c r="B5">
        <f t="shared" si="0"/>
        <v>10</v>
      </c>
      <c r="C5">
        <f t="shared" si="1"/>
        <v>6</v>
      </c>
      <c r="D5">
        <f>A5*3</f>
        <v>15</v>
      </c>
      <c r="E5">
        <f t="shared" si="2"/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N</vt:lpstr>
      <vt:lpstr>D</vt:lpstr>
      <vt:lpstr>Slot</vt:lpstr>
      <vt:lpstr>Sh</vt:lpstr>
      <vt:lpstr>Costs</vt:lpstr>
      <vt:lpstr>Far</vt:lpstr>
      <vt:lpstr>Revenue</vt:lpstr>
      <vt:lpstr>Tax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Erzegovesi, Luca</dc:creator>
  <cp:lastModifiedBy>Erzegovesi, Luca</cp:lastModifiedBy>
  <dcterms:created xsi:type="dcterms:W3CDTF">2026-10-05T07:16:56Z</dcterms:created>
  <dcterms:modified xsi:type="dcterms:W3CDTF">2026-10-05T09:56:06Z</dcterms:modified>
</cp:coreProperties>
</file>