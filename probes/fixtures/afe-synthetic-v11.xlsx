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AfeTp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xln-m3d/"/>
    </mc:Choice>
  </mc:AlternateContent>
  <xr:revisionPtr revIDLastSave="0" documentId="8_{738F1E97-447D-214F-AE48-FD31D6846276}" xr6:coauthVersionLast="47" xr6:coauthVersionMax="47" xr10:uidLastSave="{00000000-0000-0000-0000-000000000000}"/>
  <bookViews>
    <workbookView xWindow="1560" yWindow="1120" windowWidth="27640" windowHeight="16680" xr2:uid="{99BA6973-17D8-894C-A37B-1D3DE3A16E94}"/>
  </bookViews>
  <sheets>
    <sheet name="Sheet1" sheetId="1" r:id="rId1"/>
  </sheets>
  <definedNames>
    <definedName name="ALLOPT">_xlfn.LAMBDA(_xlop.x,_xlop.y, IF(_xlfn.ISOMITTED(_xlpm.x), 1, _xlpm.x) * IF(_xlfn.ISOMITTED(_xlpm.y), 2, _xlpm.y))</definedName>
    <definedName name="ANA.CUBE">_xlfn.LAMBDA(_xlpm.x, _xlpm.x ^ 3)</definedName>
    <definedName name="ANA.GROW">_xlfn.LAMBDA(_xlpm.value,_xlpm.rate,_xlop.periods, _xlpm.value * (1 + _xlpm.rate) ^ IF(_xlfn.ISOMITTED(_xlpm.periods), 1, _xlpm.periods))</definedName>
    <definedName name="ETABYROW">_xlfn.BYROW(Sheet1!$A$1:$A$3, _xleta.SUM)</definedName>
    <definedName name="ETAMAP">_xlfn.MAP(Sheet1!$A$1:$A$3, _xleta.ABS)</definedName>
    <definedName name="FACT">_xlfn.LAMBDA(_xlpm.n, IF(_xlpm.n &lt;= 1, 1, _xlpm.n * FACT(_xlpm.n - 1)))</definedName>
    <definedName name="IMMED">_xlfn.LAMBDA(_xlpm.x, _xlpm.x + 1)(2)</definedName>
    <definedName name="INLET">_xlfn.LET(_xlpm.f, _xlfn.LAMBDA(_xlpm.t, _xlpm.t * 3), _xlpm.f(2))</definedName>
    <definedName name="LETIN">_xlfn.LAMBDA(_xlpm.x, _xlfn.LET(_xlpm.y, _xlpm.x * 2, _xlpm.z, _xlpm.y + 1, _xlpm.y * _xlpm.z))</definedName>
    <definedName name="MAKEADDER">_xlfn.LAMBDA(_xlpm.n, _xlfn.LAMBDA(_xlpm.x, _xlpm.x + _xlpm.n))</definedName>
    <definedName name="OPTNEST">_xlfn.LAMBDA(_xlpm.x,_xlop.k, _xlfn.LET(_xlpm.m, IF(_xlfn.ISOMITTED(_xlpm.k), 2, _xlpm.k), _xlfn.LAMBDA(_xlpm.y,_xlop.z, _xlpm.x * _xlpm.m + _xlpm.y + IF(_xlfn.ISOMITTED(_xlpm.z), 0, _xlpm.z))))</definedName>
    <definedName name="REDUCED">_xlfn.REDUCE(0, Sheet1!$A$1:$A$3, _xlfn.LAMBDA(_xlpm.acc,_xlpm.v, _xlpm.acc + _xlpm.v))</definedName>
    <definedName name="TWOOPT">_xlfn.LAMBDA(_xlpm.a,_xlop.b,_xlop.d, _xlpm.a + IF(_xlfn.ISOMITTED(_xlpm.b), 0, _xlpm.b) + IF(_xlfn.ISOMITTED(_xlpm.d), 0, _xlpm.d))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" i="1" l="1" a="1"/>
  <c r="G1" i="1" a="1"/>
  <c r="F1" i="1" a="1"/>
  <c r="D6" i="1" a="1"/>
  <c r="D5" i="1" a="1"/>
  <c r="D4" i="1" a="1"/>
  <c r="D3" i="1" a="1"/>
  <c r="D2" i="1" a="1"/>
  <c r="D1" i="1" a="1"/>
  <c r="B18" i="1" a="1"/>
  <c r="B17" i="1" a="1"/>
  <c r="B16" i="1" a="1"/>
  <c r="B15" i="1" a="1"/>
  <c r="B14" i="1"/>
  <c r="B13" i="1"/>
  <c r="B12" i="1" a="1"/>
  <c r="B11" i="1"/>
  <c r="B10" i="1" a="1"/>
  <c r="B9" i="1" a="1"/>
  <c r="B8" i="1" a="1"/>
  <c r="B7" i="1" a="1"/>
  <c r="B6" i="1" a="1"/>
  <c r="B5" i="1" a="1"/>
  <c r="B4" i="1" a="1"/>
  <c r="B3" i="1" a="1"/>
  <c r="B2" i="1" a="1"/>
  <c r="B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Relationship Id="rIdAfe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7C8FEF-A7C0-4F0F-9C7E-38A6C7E37EC8}">
  <we:reference id="wa200003696" version="1.2.0.0" store="en-US" storeType="OMEX"/>
  <we:alternateReferences>
    <we:reference id="wa200003696" version="1.2.0.0" store="" storeType="OMEX"/>
  </we:alternateReferences>
  <we:properties>
    <we:property name="projectV0_1-56c6e055-265e-4713-816e-a646dbb708de" value="{&quot;kind&quot;:&quot;AFEJSONBlobNode&quot;,&quot;id&quot;:&quot;{0AFE5E11-0000-4000-8000-5E1F5E1F5E1F}&quot;}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5D08-07BA-D043-B3BB-690160DF1517}">
  <dimension ref="A1:H18"/>
  <sheetViews>
    <sheetView tabSelected="1" workbookViewId="0"/>
  </sheetViews>
  <sheetFormatPr baseColWidth="10" defaultRowHeight="16" x14ac:dyDescent="0.2"/>
  <sheetData>
    <row r="1" spans="1:8" x14ac:dyDescent="0.2">
      <c r="A1">
        <v>-1</v>
      </c>
      <c r="B1" cm="1">
        <f t="array" ref="B1">ANA.GROW(100, 0.1, 2)</f>
        <v>121.00000000000001</v>
      </c>
      <c r="D1" cm="1">
        <f t="array" ref="D1">_xlfn.LAMBDA(_xlpm.x,_xlop.y, _xlpm.x + IF(_xlfn.ISOMITTED(_xlpm.y), 10, _xlpm.y))(1)</f>
        <v>11</v>
      </c>
      <c r="F1" cm="1">
        <f t="array" ref="F1:F3">_xlfn.MAP(A1:A3, _xleta.ABS)</f>
        <v>1</v>
      </c>
      <c r="G1" cm="1">
        <f t="array" ref="G1:G3">_xlfn.BYROW(A1:A3, _xleta.SUM)</f>
        <v>-1</v>
      </c>
      <c r="H1" cm="1">
        <f t="array" ref="H1:H3">_xlfn.SCAN(0, A1:A3, _xlfn.LAMBDA(_xlpm.a,_xlpm.v, _xlpm.a + _xlpm.v))</f>
        <v>-1</v>
      </c>
    </row>
    <row r="2" spans="1:8" x14ac:dyDescent="0.2">
      <c r="A2">
        <v>2</v>
      </c>
      <c r="B2" cm="1">
        <f t="array" ref="B2">ANA.GROW(100, 0.1)</f>
        <v>110.00000000000001</v>
      </c>
      <c r="D2" cm="1">
        <f t="array" ref="D2">_xlfn.LET(_xlpm.f, _xlfn.LAMBDA(_xlpm.t, _xlpm.t * 3), _xlpm.f(2))</f>
        <v>6</v>
      </c>
      <c r="F2">
        <v>2</v>
      </c>
      <c r="G2">
        <v>2</v>
      </c>
      <c r="H2">
        <v>1</v>
      </c>
    </row>
    <row r="3" spans="1:8" x14ac:dyDescent="0.2">
      <c r="A3">
        <v>-3</v>
      </c>
      <c r="B3" cm="1">
        <f t="array" ref="B3">TWOOPT(1)</f>
        <v>1</v>
      </c>
      <c r="D3" cm="1">
        <f t="array" ref="D3">_xlfn.LAMBDA(_xlpm.x, _xlfn.LET(_xlpm.y, _xlpm.x * 2, _xlpm.y + 1))(4)</f>
        <v>9</v>
      </c>
      <c r="F3">
        <v>3</v>
      </c>
      <c r="G3">
        <v>-3</v>
      </c>
      <c r="H3">
        <v>-2</v>
      </c>
    </row>
    <row r="4" spans="1:8" x14ac:dyDescent="0.2">
      <c r="B4" cm="1">
        <f t="array" ref="B4">TWOOPT(1, 2, 3)</f>
        <v>6</v>
      </c>
      <c r="D4" cm="1">
        <f t="array" ref="D4">_xlfn.REDUCE(0, A1:A3, _xlfn.LAMBDA(_xlpm.a,_xlpm.v, _xlpm.a + _xlpm.v))</f>
        <v>-2</v>
      </c>
    </row>
    <row r="5" spans="1:8" x14ac:dyDescent="0.2">
      <c r="B5" cm="1">
        <f t="array" ref="B5">ALLOPT()</f>
        <v>2</v>
      </c>
      <c r="D5" cm="1">
        <f t="array" ref="D5">_xlfn.LAMBDA(_xlpm.n, _xlfn.LAMBDA(_xlpm.x, _xlpm.x + _xlpm.n))(2)(3)</f>
        <v>5</v>
      </c>
    </row>
    <row r="6" spans="1:8" x14ac:dyDescent="0.2">
      <c r="B6" cm="1">
        <f t="array" ref="B6">ALLOPT(5)</f>
        <v>10</v>
      </c>
      <c r="D6" t="str" cm="1">
        <f t="array" ref="D6">_xlfn.LAMBDA(_xlop.p, IF(_xlfn.ISOMITTED(_xlpm.p), "none", _xlpm.p))()</f>
        <v>none</v>
      </c>
    </row>
    <row r="7" spans="1:8" x14ac:dyDescent="0.2">
      <c r="B7" cm="1">
        <f t="array" ref="B7">ALLOPT(, 7)</f>
        <v>7</v>
      </c>
    </row>
    <row r="8" spans="1:8" x14ac:dyDescent="0.2">
      <c r="B8" cm="1">
        <f t="array" ref="B8">LETIN(3)</f>
        <v>42</v>
      </c>
    </row>
    <row r="9" spans="1:8" x14ac:dyDescent="0.2">
      <c r="B9" cm="1">
        <f t="array" ref="B9">INLET</f>
        <v>6</v>
      </c>
    </row>
    <row r="10" spans="1:8" x14ac:dyDescent="0.2">
      <c r="B10" cm="1">
        <f t="array" ref="B10">IMMED</f>
        <v>3</v>
      </c>
    </row>
    <row r="11" spans="1:8" x14ac:dyDescent="0.2">
      <c r="B11">
        <f>FACT(5)</f>
        <v>120</v>
      </c>
    </row>
    <row r="12" spans="1:8" x14ac:dyDescent="0.2">
      <c r="B12" cm="1">
        <f t="array" ref="B12">MAKEADDER(2)(3)</f>
        <v>5</v>
      </c>
    </row>
    <row r="13" spans="1:8" x14ac:dyDescent="0.2">
      <c r="B13">
        <f>SUM(ETAMAP)</f>
        <v>6</v>
      </c>
    </row>
    <row r="14" spans="1:8" x14ac:dyDescent="0.2">
      <c r="B14">
        <f>SUM(ETABYROW)</f>
        <v>-2</v>
      </c>
    </row>
    <row r="15" spans="1:8" x14ac:dyDescent="0.2">
      <c r="B15" cm="1">
        <f t="array" ref="B15">REDUCED</f>
        <v>-2</v>
      </c>
    </row>
    <row r="16" spans="1:8" x14ac:dyDescent="0.2">
      <c r="B16" cm="1">
        <f t="array" ref="B16">OPTNEST(3)(1)</f>
        <v>7</v>
      </c>
    </row>
    <row r="17" spans="2:2" x14ac:dyDescent="0.2">
      <c r="B17" cm="1">
        <f t="array" ref="B17">OPTNEST(3, 4)(1, 5)</f>
        <v>18</v>
      </c>
    </row>
    <row r="18" spans="2:2" x14ac:dyDescent="0.2">
      <c r="B18" cm="1">
        <f t="array" ref="B18">ANA.CUBE(2)</f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8AKgAqACAARgBhAGMAdABvAHIAaQBhAGwALAAgAHIAZQBjAHUAcgBzAGkAdgBlAC4AIAAqAC8AXABuAEYAQQBDAFQAIAA9ACAATABBAE0AQgBEAEEAKABuACwAIABJAEYAKABuACAAPAA9ACAAMQAsACAAMQAsACAAbgAgACoAIABGAEEAQwBUACgAbgAgAC0AIAAxACkAKQApADsAXABuAFwAbgBNAEEASwBFAEEARABEAEUAUgAgAD0AIABMAEEATQBCAEQAQQAoAG4ALABcAG4AIAAgACAAIABMAEEATQBCAEQAQQAoAHgALAAgAHgAIAArACAAbgApAFwAbgApADsAXABuACIAfQAsAHsAIgBwAGEAdABoACIAOgAiAC8AcAByAG8AagBlAGMAdABzAC8AQQBOAEEAIgAsACIAdABlAHgAdAAiADoAIgAvAC8AIABBAG4AYQBsAHkAdABpAGMAIABoAGUAbABwAGUAcgBzAFwAbgBcAG4AQwBVAEIARQAgAD0AIABMAEEATQBCAEQAQQAoAHgALAAgAHgAIABeACAAMwApADsAXABuAFwAbgAvACoAKgAgAEMAbwBtAHAAbwB1AG4AZAAgAGcAcgBvAHcAdABoACAAbwB2AGUAcgAgAFsAcABlAHIAaQBvAGQAcwBdACAAKABkAGUAZgBhAHUAbAB0ACAAMQApAC4AIAAqAC8AXABuAEcAUgBPAFcAIAA9ACAATABBAE0AQgBEAEEAKAB2AGEAbAB1AGUALAAgAHIAYQB0AGUALAAgAFsAcABlAHIAaQBvAGQAcwBdACwAXABuACAAIAAgACAAdgBhAGwAdQBlACAAKgAgACgAMQAgACsAIAByAGEAdABlACkAIABeACAASQBGACgASQBTAE8ATQBJAFQAVABFAEQAKABwAGUAcgBpAG8AZABzACkALAAgADEALAAgAHAAZQByAGkAbwBkAHMAKQBcAG4AKQA7AFwAbgAiAH0AXQAsACIAcAByAG8AagBlAGMAdABOAGEAbQBlAHMAIgA6AFsAIgBGAEEAQwBUACIALAAiAE0AQQBLAEUAQQBEAEQARQBSACIALAAiAEEATgBBAC4AQwBVAEIARQAiACwAIgBBAE4AQQAuAEcAUgBPAFcAIgBdACwAIgBsAG8AYwBhAGwAZQAiADoAewAiAGwAaQBzAHQAUwBlAHAAYQByAGEAdABvAHIAIgA6ACIALAAiACwAIgByAG8AdwBTAGUAcABhAHIAYQB0AG8AcgAiADoAIgA7ACIALAAiAGMAbwBsAHUAbQBuAFMAZQBwAGEAcgBhAHQAbwByACIAOgAiACwAIgAsACIAZABlAGMAaQBtAGEAbABTAGUAcABhAHIAYQB0AG8AcgAiADoAIgAuACIALAAiAHMAdABhAHQAZQBtAGUAbgB0AFMAZQBwAGEAcgBhAHQAbwByACIAOgAiADsAIgAsACIAbABvAGMAYQBsAGUATgBhAG0AZQAiADoAIgBlAG4ALQB1AHMAIgB9AH0A</AFEJSONBlob>
</file>

<file path=customXml/itemProps1.xml><?xml version="1.0" encoding="utf-8"?>
<ds:datastoreItem xmlns:ds="http://schemas.openxmlformats.org/officeDocument/2006/customXml" ds:itemID="{0AFE5E11-0000-4000-8000-5E1F5E1F5E1F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2026-10-06T08:48:12Z</dcterms:created>
  <dcterms:modified xsi:type="dcterms:W3CDTF">2026-10-06T08:48:14Z</dcterms:modified>
</cp:coreProperties>
</file>