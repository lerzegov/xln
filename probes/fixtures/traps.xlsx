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548A687C-BD0D-074B-A060-899FC4FBD67B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BareSeq">SEQUENCE(1,3)</definedName>
    <definedName name="Broken">'S1'!#REF!+1</definedName>
    <definedName name="ChartOnly">'S1'!$A$2:$A$11</definedName>
    <definedName name="Cost_base">Sales_base*0.6</definedName>
    <definedName name="Cost_high">Sales_high*0.6</definedName>
    <definedName name="CycA">CycB+1</definedName>
    <definedName name="CycB">CycA+1</definedName>
    <definedName name="Fact">_xlfn.LAMBDA(_xlpm.n, _xlpm.n*2)</definedName>
    <definedName name="Fn">_xlfn.LAMBDA(_xlpm.x, _xlpm.x*Rate)</definedName>
    <definedName name="Loc" localSheetId="1">7</definedName>
    <definedName name="Loc">3</definedName>
    <definedName name="Long">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</definedName>
    <definedName name="Margin_base">Sales_base-Cost_base</definedName>
    <definedName name="Margin_high">Sales_high-Cost_high*1.1</definedName>
    <definedName name="OnlySecond" localSheetId="1">5</definedName>
    <definedName name="Opt">_xlfn.LAMBDA(_xlpm.a,_xlop.b, _xlpm.a+IF(_xlfn.ISOMITTED(_xlpm.b),0,_xlpm.b))</definedName>
    <definedName name="Poisoned">_xludf.SEQUENCE(1,3)</definedName>
    <definedName name="Price">2</definedName>
    <definedName name="Rate">0.1</definedName>
    <definedName name="Rate2">Rate*2</definedName>
    <definedName name="RateX">0.5</definedName>
    <definedName name="ReadsLocal">OnlySecond*2</definedName>
    <definedName name="RelRef">'S1'!A2</definedName>
    <definedName name="Sales_base">Volume_base*Price</definedName>
    <definedName name="Sales_high">Volume_high*Price</definedName>
    <definedName name="SpillFixed">'S1'!$E$1:$E$3</definedName>
    <definedName name="Spl">_xlfn.ANCHORARRAY('S1'!$E$1)</definedName>
    <definedName name="Tax">_xlfn.LAMBDA(_xlpm.x, _xlpm.x*0.27)</definedName>
    <definedName name="Unused">42</definedName>
    <definedName name="Volume_base">100</definedName>
    <definedName name="Volume_high">120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A3" i="2"/>
  <c r="A4" i="2"/>
  <c r="A5" i="2"/>
  <c r="A2" i="2"/>
  <c r="A1" i="2"/>
  <c r="C10" i="1" a="1"/>
  <c r="C9" i="1"/>
  <c r="C8" i="1"/>
  <c r="C7" i="1" a="1"/>
  <c r="C6" i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cat>
            <c:numRef>
              <c:f>'S1'!$A$2:$A$11</c:f>
            </c:numRef>
          </c:cat>
          <c:val>
            <c:numRef>
              <c:f>[0]!ChartOnly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26"/>
  <sheetViews>
    <sheetView workbookViewId="0"/>
  </sheetViews>
  <sheetFormatPr baseColWidth="10" defaultRowHeight="16" x14ac:dyDescent="0.2"/>
  <sheetData>
    <row r="1" spans="1:5" x14ac:dyDescent="0.2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2">
      <c r="A2">
        <v>1</v>
      </c>
      <c r="B2">
        <f t="shared" ref="B2:B11" si="0">A2*Rate</f>
        <v>0.1</v>
      </c>
      <c r="C2" t="str">
        <f>"Rate is "&amp;Rate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2">
      <c r="A5">
        <v>4</v>
      </c>
      <c r="B5">
        <f t="shared" si="0"/>
        <v>0.4</v>
      </c>
      <c r="C5">
        <f>'S2'!Loc+Loc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2">
      <c r="A11">
        <v>10</v>
      </c>
      <c r="B11">
        <f t="shared" si="0"/>
        <v>1</v>
      </c>
    </row>
    <row r="13" spans="1:1">
      <c r="A13">
        <f>SUM(E1:E3)</f>
        <v>0.6</v>
      </c>
    </row>
    <row r="14" spans="1:1">
      <c r="A14" t="e">
        <f>SUM(BareSeq)</f>
        <v>#NAME?</v>
      </c>
    </row>
    <row r="15" spans="1:1">
      <c r="A15" t="e">
        <f>SUM(Poisoned)</f>
        <v>#NAME?</v>
      </c>
    </row>
    <row r="16" spans="1:1">
      <c r="A16" t="e">
        <f>Broken*2</f>
        <v>#REF!</v>
      </c>
    </row>
    <row r="17" spans="1:1">
      <c r="A17" t="e">
        <f>ReadsLocal</f>
        <v>#NAME?</v>
      </c>
    </row>
    <row r="18" spans="1:1">
      <c r="A18" t="e">
        <f>Fn(1,2)</f>
        <v>#VALUE!</v>
      </c>
    </row>
    <row r="19" spans="1:1">
      <c r="A19">
        <f>Opt(1)</f>
        <v>1</v>
      </c>
    </row>
    <row r="20" spans="1:1">
      <c r="A20" t="e">
        <f>Opt(1,2,3)</f>
        <v>#VALUE!</v>
      </c>
    </row>
    <row r="21" spans="1:1">
      <c r="A21">
        <f>Long</f>
        <v>4151</v>
      </c>
    </row>
    <row r="22" spans="1:1">
      <c r="A22">
        <f>Margin_base+Margin_high</f>
        <v>-6.4</v>
      </c>
    </row>
    <row r="23" spans="1:1">
      <c r="A23">
        <f>CycA</f>
        <v>0</v>
      </c>
    </row>
    <row r="24" spans="1:1">
      <c r="A24">
        <f>Tax(100)</f>
        <v>27</v>
      </c>
    </row>
    <row r="25" spans="1:1">
      <c r="A25">
        <f>SUM(SpillFixed)</f>
        <v>0.6</v>
      </c>
    </row>
    <row r="26" spans="1:1">
      <c r="A26">
        <f>RelRef</f>
        <v>2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>
      <formula1>Rate+Loc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C5"/>
  <sheetViews>
    <sheetView tabSelected="1" workbookViewId="0"/>
  </sheetViews>
  <sheetFormatPr baseColWidth="10" defaultRowHeight="16" x14ac:dyDescent="0.2"/>
  <sheetData>
    <row r="1" spans="1:2" x14ac:dyDescent="0.2">
      <c r="A1">
        <f>Loc</f>
        <v>7</v>
      </c>
      <c r="B1">
        <f>'S1'!A1+'S2'!Loc</f>
        <v>7.2</v>
      </c>
      <c r="C1">
        <f>OnlySecond</f>
        <v>5</v>
      </c>
    </row>
    <row r="2" spans="1:2" x14ac:dyDescent="0.2">
      <c r="A2">
        <f>Rate+Loc</f>
        <v>7.1</v>
      </c>
    </row>
    <row r="3" spans="1:2" x14ac:dyDescent="0.2">
      <c r="A3">
        <f t="shared" ref="A3:A5" si="0">Loc*ROW()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2026-10-04T16:23:11Z</dcterms:modified>
</cp:coreProperties>
</file>